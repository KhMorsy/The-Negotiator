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llenge Evaluation" sheetId="1" r:id="rId5"/>
    <sheet state="visible" name="Copy of Challenge Evaluation" sheetId="2" r:id="rId6"/>
    <sheet state="visible" name="Niche Selection" sheetId="3" r:id="rId7"/>
  </sheets>
  <definedNames/>
  <calcPr/>
</workbook>
</file>

<file path=xl/sharedStrings.xml><?xml version="1.0" encoding="utf-8"?>
<sst xmlns="http://schemas.openxmlformats.org/spreadsheetml/2006/main" count="170" uniqueCount="36">
  <si>
    <t xml:space="preserve">Sheet1: </t>
  </si>
  <si>
    <t>Challenge</t>
  </si>
  <si>
    <t>Khaled (1-10)</t>
  </si>
  <si>
    <t>Lara (1-10)</t>
  </si>
  <si>
    <t>Pari (1-10)</t>
  </si>
  <si>
    <t>Mehdi (1-10)</t>
  </si>
  <si>
    <t>Average Score</t>
  </si>
  <si>
    <t>Comments</t>
  </si>
  <si>
    <t>Challenge 1: Generative City-Wallet</t>
  </si>
  <si>
    <t>Challenge 2: Agentic Transactions</t>
  </si>
  <si>
    <t>Challenge 3: Agentic Healthcare Maps</t>
  </si>
  <si>
    <t>Challenge 4: AI Scientist OS</t>
  </si>
  <si>
    <t>Challenge 5: Unmapped: Informal Talent</t>
  </si>
  <si>
    <t>Technical Depth (1-10)</t>
  </si>
  <si>
    <t>Data Availability (1-10)</t>
  </si>
  <si>
    <t>Ease of Presentation (1-10)</t>
  </si>
  <si>
    <t>Innovation Potential (1-10)</t>
  </si>
  <si>
    <t>Total Score</t>
  </si>
  <si>
    <t>Weightage Notes</t>
  </si>
  <si>
    <t>Generative City-Wallet</t>
  </si>
  <si>
    <t>High marketability; low data access for local shops.</t>
  </si>
  <si>
    <t>Agentic Transactions</t>
  </si>
  <si>
    <t>Deep tech; high innovation; harder to demo.</t>
  </si>
  <si>
    <t>Agentic Healthcare Maps</t>
  </si>
  <si>
    <t>Social impact; data privacy/silos are a bottleneck.</t>
  </si>
  <si>
    <t>AI Scientist OS</t>
  </si>
  <si>
    <t>Clear user persona (PIs); high technical complexity.</t>
  </si>
  <si>
    <t>Unmapped: Informal Talent</t>
  </si>
  <si>
    <t>Story-driven; high accessibility; lower tech depth.</t>
  </si>
  <si>
    <t>Challenge Section</t>
  </si>
  <si>
    <t>Problem/Niche Idea</t>
  </si>
  <si>
    <t>Urgency (1-10)</t>
  </si>
  <si>
    <t>Technical Feasibility (1-10)</t>
  </si>
  <si>
    <t>Market Potential (1-10)</t>
  </si>
  <si>
    <t>Decision</t>
  </si>
  <si>
    <t>CHALLENGE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</si>
</sst>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horizontal="right" readingOrder="0"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horizontal="right" readingOrder="0" shrinkToFit="0" vertical="center" wrapText="0"/>
    </xf>
    <xf borderId="6" fillId="3" fontId="3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horizontal="right" readingOrder="0" shrinkToFit="0" vertical="center" wrapText="0"/>
    </xf>
    <xf borderId="9" fillId="2" fontId="3" numFmtId="0" xfId="0" applyAlignment="1" applyBorder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2" fontId="3" numFmtId="0" xfId="0" applyAlignment="1" applyFont="1">
      <alignment horizontal="right"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8" fillId="2" fontId="3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11">
    <tableStyle count="4" pivot="0" name="Challenge Evalu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Challenge Evaluation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Challenge Evaluation-style 3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Challenge Evaluation-style 4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Challenge Evalua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Challenge Evalu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Copy of Challenge Evaluation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Copy of Challenge Evaluation-style 3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Copy of Challenge Evaluation-style 4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Copy of Challenge Evalua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che Selec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8" displayName="Table2" name="Table2" id="1">
  <tableColumns count="7">
    <tableColumn name="Challenge" id="1"/>
    <tableColumn name="Khaled (1-10)" id="2"/>
    <tableColumn name="Lara (1-10)" id="3"/>
    <tableColumn name="Pari (1-10)" id="4"/>
    <tableColumn name="Mehdi (1-10)" id="5"/>
    <tableColumn name="Average Score" id="6"/>
    <tableColumn name="Comments" id="7"/>
  </tableColumns>
  <tableStyleInfo name="Challenge Evaluation-style" showColumnStripes="0" showFirstColumn="1" showLastColumn="1" showRowStripes="1"/>
</table>
</file>

<file path=xl/tables/table2.xml><?xml version="1.0" encoding="utf-8"?>
<table xmlns="http://schemas.openxmlformats.org/spreadsheetml/2006/main" totalsRowCount="1" ref="A13:G19" displayName="Khaled" name="Khaled" id="2">
  <tableColumns count="7">
    <tableColumn name="Challenge" id="1"/>
    <tableColumn name="Technical Depth (1-10)" id="2"/>
    <tableColumn name="Data Availability (1-10)" id="3"/>
    <tableColumn name="Ease of Presentation (1-10)" id="4"/>
    <tableColumn name="Innovation Potential (1-10)" id="5"/>
    <tableColumn name="Total Score" id="6"/>
    <tableColumn name="Weightage Notes" id="7"/>
  </tableColumns>
  <tableStyleInfo name="Challenge Evaluation-style 2" showColumnStripes="0" showFirstColumn="1" showLastColumn="1" showRowStripes="1"/>
</table>
</file>

<file path=xl/tables/table3.xml><?xml version="1.0" encoding="utf-8"?>
<table xmlns="http://schemas.openxmlformats.org/spreadsheetml/2006/main" totalsRowCount="1" ref="A21:G27" displayName="Lara" name="Lara" id="3">
  <tableColumns count="7">
    <tableColumn name="Challenge" id="1"/>
    <tableColumn name="Technical Depth (1-10)" id="2"/>
    <tableColumn name="Data Availability (1-10)" id="3"/>
    <tableColumn name="Ease of Presentation (1-10)" id="4"/>
    <tableColumn name="Innovation Potential (1-10)" id="5"/>
    <tableColumn name="Total Score" id="6"/>
    <tableColumn name="Weightage Notes" id="7"/>
  </tableColumns>
  <tableStyleInfo name="Challenge Evaluation-style 3" showColumnStripes="0" showFirstColumn="1" showLastColumn="1" showRowStripes="1"/>
</table>
</file>

<file path=xl/tables/table4.xml><?xml version="1.0" encoding="utf-8"?>
<table xmlns="http://schemas.openxmlformats.org/spreadsheetml/2006/main" totalsRowCount="1" ref="A29:G35" displayName="Pari" name="Pari" id="4">
  <tableColumns count="7">
    <tableColumn name="Challenge" id="1"/>
    <tableColumn name="Technical Depth (1-10)" id="2"/>
    <tableColumn name="Data Availability (1-10)" id="3"/>
    <tableColumn name="Ease of Presentation (1-10)" id="4"/>
    <tableColumn name="Innovation Potential (1-10)" id="5"/>
    <tableColumn name="Total Score" id="6"/>
    <tableColumn name="Weightage Notes" id="7"/>
  </tableColumns>
  <tableStyleInfo name="Challenge Evaluation-style 4" showColumnStripes="0" showFirstColumn="1" showLastColumn="1" showRowStripes="1"/>
</table>
</file>

<file path=xl/tables/table5.xml><?xml version="1.0" encoding="utf-8"?>
<table xmlns="http://schemas.openxmlformats.org/spreadsheetml/2006/main" ref="A37:G42" displayName="Mehdi" name="Mehdi" id="5">
  <tableColumns count="7">
    <tableColumn name="Challenge" id="1"/>
    <tableColumn name="Technical Depth (1-10)" id="2"/>
    <tableColumn name="Data Availability (1-10)" id="3"/>
    <tableColumn name="Ease of Presentation (1-10)" id="4"/>
    <tableColumn name="Innovation Potential (1-10)" id="5"/>
    <tableColumn name="Total Score" id="6"/>
    <tableColumn name="Weightage Notes" id="7"/>
  </tableColumns>
  <tableStyleInfo name="Challenge Evaluation-style 5" showColumnStripes="0" showFirstColumn="1" showLastColumn="1" showRowStripes="1"/>
</table>
</file>

<file path=xl/tables/table6.xml><?xml version="1.0" encoding="utf-8"?>
<table xmlns="http://schemas.openxmlformats.org/spreadsheetml/2006/main" ref="A3:G8" displayName="Table2_2" name="Table2_2" id="6">
  <tableColumns count="7">
    <tableColumn name="Challenge" id="1"/>
    <tableColumn name="Khaled (1-10)" id="2"/>
    <tableColumn name="Lara (1-10)" id="3"/>
    <tableColumn name="Pari (1-10)" id="4"/>
    <tableColumn name="Mehdi (1-10)" id="5"/>
    <tableColumn name="Average Score" id="6"/>
    <tableColumn name="Comments" id="7"/>
  </tableColumns>
  <tableStyleInfo name="Copy of Challenge Evaluation-style" showColumnStripes="0" showFirstColumn="1" showLastColumn="1" showRowStripes="1"/>
</table>
</file>

<file path=xl/tables/table7.xml><?xml version="1.0" encoding="utf-8"?>
<table xmlns="http://schemas.openxmlformats.org/spreadsheetml/2006/main" totalsRowCount="1" ref="A13:G19" displayName="Khaled_2" name="Khaled_2" id="7">
  <tableColumns count="7">
    <tableColumn name="Challenge" id="1"/>
    <tableColumn name="Technical Depth (1-10)" id="2"/>
    <tableColumn name="Data Availability (1-10)" id="3"/>
    <tableColumn name="Ease of Presentation (1-10)" id="4"/>
    <tableColumn name="Innovation Potential (1-10)" id="5"/>
    <tableColumn name="Total Score" id="6"/>
    <tableColumn name="Weightage Notes" id="7"/>
  </tableColumns>
  <tableStyleInfo name="Copy of Challenge Evaluation-style 2" showColumnStripes="0" showFirstColumn="1" showLastColumn="1" showRowStripes="1"/>
</table>
</file>

<file path=xl/tables/table8.xml><?xml version="1.0" encoding="utf-8"?>
<table xmlns="http://schemas.openxmlformats.org/spreadsheetml/2006/main" totalsRowCount="1" ref="A21:G27" displayName="Lara_2" name="Lara_2" id="8">
  <tableColumns count="7">
    <tableColumn name="Challenge" id="1"/>
    <tableColumn name="Technical Depth (1-10)" id="2"/>
    <tableColumn name="Data Availability (1-10)" id="3"/>
    <tableColumn name="Ease of Presentation (1-10)" id="4"/>
    <tableColumn name="Innovation Potential (1-10)" id="5"/>
    <tableColumn name="Total Score" id="6"/>
    <tableColumn name="Weightage Notes" id="7"/>
  </tableColumns>
  <tableStyleInfo name="Copy of Challenge Evaluation-style 3" showColumnStripes="0" showFirstColumn="1" showLastColumn="1" showRowStripes="1"/>
</table>
</file>

<file path=xl/tables/table9.xml><?xml version="1.0" encoding="utf-8"?>
<table xmlns="http://schemas.openxmlformats.org/spreadsheetml/2006/main" totalsRowCount="1" ref="A29:G35" displayName="Pari_2" name="Pari_2" id="9">
  <tableColumns count="7">
    <tableColumn name="Challenge" id="1"/>
    <tableColumn name="Technical Depth (1-10)" id="2"/>
    <tableColumn name="Data Availability (1-10)" id="3"/>
    <tableColumn name="Ease of Presentation (1-10)" id="4"/>
    <tableColumn name="Innovation Potential (1-10)" id="5"/>
    <tableColumn name="Total Score" id="6"/>
    <tableColumn name="Weightage Notes" id="7"/>
  </tableColumns>
  <tableStyleInfo name="Copy of Challenge Evaluation-style 4" showColumnStripes="0" showFirstColumn="1" showLastColumn="1" showRowStripes="1"/>
</table>
</file>

<file path=xl/tables/table10.xml><?xml version="1.0" encoding="utf-8"?>
<table xmlns="http://schemas.openxmlformats.org/spreadsheetml/2006/main" ref="A37:G42" displayName="Mehdi_2" name="Mehdi_2" id="10">
  <tableColumns count="7">
    <tableColumn name="Challenge" id="1"/>
    <tableColumn name="Technical Depth (1-10)" id="2"/>
    <tableColumn name="Data Availability (1-10)" id="3"/>
    <tableColumn name="Ease of Presentation (1-10)" id="4"/>
    <tableColumn name="Innovation Potential (1-10)" id="5"/>
    <tableColumn name="Total Score" id="6"/>
    <tableColumn name="Weightage Notes" id="7"/>
  </tableColumns>
  <tableStyleInfo name="Copy of Challenge Evaluation-style 5" showColumnStripes="0" showFirstColumn="1" showLastColumn="1" showRowStripes="1"/>
</table>
</file>

<file path=xl/tables/table11.xml><?xml version="1.0" encoding="utf-8"?>
<table xmlns="http://schemas.openxmlformats.org/spreadsheetml/2006/main" ref="A3:G4" displayName="Table1" name="Table1" id="11">
  <tableColumns count="7">
    <tableColumn name="Challenge Section" id="1"/>
    <tableColumn name="Problem/Niche Idea" id="2"/>
    <tableColumn name="Urgency (1-10)" id="3"/>
    <tableColumn name="Technical Feasibility (1-10)" id="4"/>
    <tableColumn name="Market Potential (1-10)" id="5"/>
    <tableColumn name="Total Score" id="6"/>
    <tableColumn name="Decision" id="7"/>
  </tableColumns>
  <tableStyleInfo name="Niche Sele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22.25"/>
    <col customWidth="1" min="3" max="3" width="22.13"/>
    <col customWidth="1" min="4" max="4" width="25.75"/>
    <col customWidth="1" min="5" max="5" width="25.13"/>
    <col customWidth="1" min="6" max="6" width="16.13"/>
    <col customWidth="1" min="7" max="7" width="40.25"/>
  </cols>
  <sheetData>
    <row r="1">
      <c r="A1" s="1" t="s">
        <v>0</v>
      </c>
    </row>
    <row r="2">
      <c r="A2" s="1"/>
      <c r="B2" s="1"/>
      <c r="C2" s="1"/>
      <c r="D2" s="1"/>
      <c r="E2" s="1"/>
      <c r="F2" s="1"/>
      <c r="G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.5" customHeight="1">
      <c r="A4" s="3" t="s">
        <v>8</v>
      </c>
      <c r="B4" s="4">
        <f t="shared" ref="B4:B8" si="1">F14</f>
        <v>29</v>
      </c>
      <c r="C4" s="4">
        <f t="shared" ref="C4:C8" si="2">F22</f>
        <v>27</v>
      </c>
      <c r="D4" s="4">
        <f t="shared" ref="D4:D8" si="3">F30</f>
        <v>30</v>
      </c>
      <c r="E4" s="4">
        <f t="shared" ref="E4:E8" si="4">F38</f>
        <v>25</v>
      </c>
      <c r="F4" s="4">
        <f t="shared" ref="F4:F8" si="5">AVERAGE(B4:E4)</f>
        <v>27.75</v>
      </c>
    </row>
    <row r="5" ht="22.5" customHeight="1">
      <c r="A5" s="3" t="s">
        <v>9</v>
      </c>
      <c r="B5" s="4">
        <f t="shared" si="1"/>
        <v>25</v>
      </c>
      <c r="C5" s="4">
        <f t="shared" si="2"/>
        <v>28</v>
      </c>
      <c r="D5" s="4">
        <f t="shared" si="3"/>
        <v>26</v>
      </c>
      <c r="E5" s="4">
        <f t="shared" si="4"/>
        <v>33</v>
      </c>
      <c r="F5" s="4">
        <f t="shared" si="5"/>
        <v>28</v>
      </c>
    </row>
    <row r="6" ht="22.5" customHeight="1">
      <c r="A6" s="3" t="s">
        <v>10</v>
      </c>
      <c r="B6" s="4">
        <f t="shared" si="1"/>
        <v>34</v>
      </c>
      <c r="C6" s="4">
        <f t="shared" si="2"/>
        <v>33</v>
      </c>
      <c r="D6" s="4">
        <f t="shared" si="3"/>
        <v>24</v>
      </c>
      <c r="E6" s="4">
        <f t="shared" si="4"/>
        <v>29</v>
      </c>
      <c r="F6" s="4">
        <f t="shared" si="5"/>
        <v>30</v>
      </c>
    </row>
    <row r="7" ht="22.5" customHeight="1">
      <c r="A7" s="3" t="s">
        <v>11</v>
      </c>
      <c r="B7" s="4">
        <f t="shared" si="1"/>
        <v>32</v>
      </c>
      <c r="C7" s="4">
        <f t="shared" si="2"/>
        <v>29</v>
      </c>
      <c r="D7" s="4">
        <f t="shared" si="3"/>
        <v>33</v>
      </c>
      <c r="E7" s="4">
        <f t="shared" si="4"/>
        <v>33</v>
      </c>
      <c r="F7" s="4">
        <f t="shared" si="5"/>
        <v>31.75</v>
      </c>
    </row>
    <row r="8" ht="22.5" customHeight="1">
      <c r="A8" s="3" t="s">
        <v>12</v>
      </c>
      <c r="B8" s="4">
        <f t="shared" si="1"/>
        <v>36</v>
      </c>
      <c r="C8" s="4">
        <f t="shared" si="2"/>
        <v>30</v>
      </c>
      <c r="D8" s="4">
        <f t="shared" si="3"/>
        <v>29</v>
      </c>
      <c r="E8" s="4">
        <f t="shared" si="4"/>
        <v>34</v>
      </c>
      <c r="F8" s="4">
        <f t="shared" si="5"/>
        <v>32.25</v>
      </c>
    </row>
    <row r="13" ht="22.5" customHeight="1">
      <c r="A13" s="5" t="s">
        <v>1</v>
      </c>
      <c r="B13" s="5" t="s">
        <v>13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18</v>
      </c>
    </row>
    <row r="14" ht="22.5" customHeight="1">
      <c r="A14" s="6" t="s">
        <v>19</v>
      </c>
      <c r="B14" s="7">
        <v>6.0</v>
      </c>
      <c r="C14" s="7">
        <v>7.0</v>
      </c>
      <c r="D14" s="7">
        <v>9.0</v>
      </c>
      <c r="E14" s="7">
        <v>7.0</v>
      </c>
      <c r="F14" s="8">
        <f t="shared" ref="F14:F18" si="6">SUM(B14:E14)</f>
        <v>29</v>
      </c>
      <c r="G14" s="9" t="s">
        <v>20</v>
      </c>
    </row>
    <row r="15" ht="22.5" customHeight="1">
      <c r="A15" s="10" t="s">
        <v>21</v>
      </c>
      <c r="B15" s="11">
        <v>7.0</v>
      </c>
      <c r="C15" s="11">
        <v>9.0</v>
      </c>
      <c r="D15" s="11">
        <v>5.0</v>
      </c>
      <c r="E15" s="11">
        <v>4.0</v>
      </c>
      <c r="F15" s="8">
        <f t="shared" si="6"/>
        <v>25</v>
      </c>
      <c r="G15" s="12" t="s">
        <v>22</v>
      </c>
    </row>
    <row r="16" ht="22.5" customHeight="1">
      <c r="A16" s="6" t="s">
        <v>23</v>
      </c>
      <c r="B16" s="7">
        <v>9.0</v>
      </c>
      <c r="C16" s="7">
        <v>10.0</v>
      </c>
      <c r="D16" s="7">
        <v>9.0</v>
      </c>
      <c r="E16" s="7">
        <v>6.0</v>
      </c>
      <c r="F16" s="8">
        <f t="shared" si="6"/>
        <v>34</v>
      </c>
      <c r="G16" s="9" t="s">
        <v>24</v>
      </c>
    </row>
    <row r="17" ht="22.5" customHeight="1">
      <c r="A17" s="10" t="s">
        <v>25</v>
      </c>
      <c r="B17" s="11">
        <v>8.0</v>
      </c>
      <c r="C17" s="11">
        <v>8.0</v>
      </c>
      <c r="D17" s="11">
        <v>8.0</v>
      </c>
      <c r="E17" s="11">
        <v>8.0</v>
      </c>
      <c r="F17" s="8">
        <f t="shared" si="6"/>
        <v>32</v>
      </c>
      <c r="G17" s="12" t="s">
        <v>26</v>
      </c>
    </row>
    <row r="18" ht="22.5" customHeight="1">
      <c r="A18" s="13" t="s">
        <v>27</v>
      </c>
      <c r="B18" s="14">
        <v>8.0</v>
      </c>
      <c r="C18" s="14">
        <v>9.0</v>
      </c>
      <c r="D18" s="14">
        <v>10.0</v>
      </c>
      <c r="E18" s="14">
        <v>9.0</v>
      </c>
      <c r="F18" s="8">
        <f t="shared" si="6"/>
        <v>36</v>
      </c>
      <c r="G18" s="15" t="s">
        <v>28</v>
      </c>
    </row>
    <row r="19" ht="22.5" customHeight="1">
      <c r="A19" s="16"/>
      <c r="B19" s="17"/>
      <c r="C19" s="17"/>
      <c r="D19" s="17"/>
      <c r="E19" s="17"/>
      <c r="F19" s="17"/>
      <c r="G19" s="16"/>
    </row>
    <row r="21" ht="22.5" customHeight="1">
      <c r="A21" s="5" t="s">
        <v>1</v>
      </c>
      <c r="B21" s="5" t="s">
        <v>13</v>
      </c>
      <c r="C21" s="5" t="s">
        <v>14</v>
      </c>
      <c r="D21" s="5" t="s">
        <v>15</v>
      </c>
      <c r="E21" s="5" t="s">
        <v>16</v>
      </c>
      <c r="F21" s="5" t="s">
        <v>17</v>
      </c>
      <c r="G21" s="5" t="s">
        <v>18</v>
      </c>
    </row>
    <row r="22" ht="22.5" customHeight="1">
      <c r="A22" s="6" t="s">
        <v>19</v>
      </c>
      <c r="B22" s="7">
        <v>6.0</v>
      </c>
      <c r="C22" s="7">
        <v>5.0</v>
      </c>
      <c r="D22" s="7">
        <v>9.0</v>
      </c>
      <c r="E22" s="7">
        <v>7.0</v>
      </c>
      <c r="F22" s="8">
        <f t="shared" ref="F22:F26" si="7">Sum(B22:E22)</f>
        <v>27</v>
      </c>
      <c r="G22" s="9" t="s">
        <v>20</v>
      </c>
    </row>
    <row r="23" ht="22.5" customHeight="1">
      <c r="A23" s="10" t="s">
        <v>21</v>
      </c>
      <c r="B23" s="11">
        <v>4.0</v>
      </c>
      <c r="C23" s="11">
        <v>10.0</v>
      </c>
      <c r="D23" s="11">
        <v>6.0</v>
      </c>
      <c r="E23" s="11">
        <v>8.0</v>
      </c>
      <c r="F23" s="18">
        <f t="shared" si="7"/>
        <v>28</v>
      </c>
      <c r="G23" s="12" t="s">
        <v>22</v>
      </c>
    </row>
    <row r="24" ht="22.5" customHeight="1">
      <c r="A24" s="6" t="s">
        <v>23</v>
      </c>
      <c r="B24" s="7">
        <v>8.0</v>
      </c>
      <c r="C24" s="7">
        <v>10.0</v>
      </c>
      <c r="D24" s="7">
        <v>8.0</v>
      </c>
      <c r="E24" s="7">
        <v>7.0</v>
      </c>
      <c r="F24" s="8">
        <f t="shared" si="7"/>
        <v>33</v>
      </c>
      <c r="G24" s="9" t="s">
        <v>24</v>
      </c>
    </row>
    <row r="25" ht="22.5" customHeight="1">
      <c r="A25" s="10" t="s">
        <v>25</v>
      </c>
      <c r="B25" s="11">
        <v>4.0</v>
      </c>
      <c r="C25" s="11">
        <v>9.0</v>
      </c>
      <c r="D25" s="11">
        <v>9.0</v>
      </c>
      <c r="E25" s="11">
        <v>7.0</v>
      </c>
      <c r="F25" s="18">
        <f t="shared" si="7"/>
        <v>29</v>
      </c>
      <c r="G25" s="12" t="s">
        <v>26</v>
      </c>
    </row>
    <row r="26" ht="22.5" customHeight="1">
      <c r="A26" s="13" t="s">
        <v>27</v>
      </c>
      <c r="B26" s="14">
        <v>5.0</v>
      </c>
      <c r="C26" s="14">
        <v>7.0</v>
      </c>
      <c r="D26" s="14">
        <v>9.0</v>
      </c>
      <c r="E26" s="14">
        <v>9.0</v>
      </c>
      <c r="F26" s="19">
        <f t="shared" si="7"/>
        <v>30</v>
      </c>
      <c r="G26" s="15" t="s">
        <v>28</v>
      </c>
    </row>
    <row r="27" ht="22.5" customHeight="1">
      <c r="A27" s="16"/>
      <c r="B27" s="17"/>
      <c r="C27" s="17"/>
      <c r="D27" s="17"/>
      <c r="E27" s="17"/>
      <c r="F27" s="17"/>
      <c r="G27" s="16"/>
    </row>
    <row r="29" ht="22.5" customHeight="1">
      <c r="A29" s="5" t="s">
        <v>1</v>
      </c>
      <c r="B29" s="5" t="s">
        <v>13</v>
      </c>
      <c r="C29" s="5" t="s">
        <v>14</v>
      </c>
      <c r="D29" s="5" t="s">
        <v>15</v>
      </c>
      <c r="E29" s="5" t="s">
        <v>16</v>
      </c>
      <c r="F29" s="5" t="s">
        <v>17</v>
      </c>
      <c r="G29" s="5" t="s">
        <v>18</v>
      </c>
    </row>
    <row r="30" ht="22.5" customHeight="1">
      <c r="A30" s="6" t="s">
        <v>19</v>
      </c>
      <c r="B30" s="7">
        <v>7.0</v>
      </c>
      <c r="C30" s="7">
        <v>6.0</v>
      </c>
      <c r="D30" s="7">
        <v>9.0</v>
      </c>
      <c r="E30" s="7">
        <v>8.0</v>
      </c>
      <c r="F30" s="8">
        <f t="shared" ref="F30:F34" si="8">Sum(B30:E30)</f>
        <v>30</v>
      </c>
      <c r="G30" s="9" t="s">
        <v>20</v>
      </c>
    </row>
    <row r="31" ht="22.5" customHeight="1">
      <c r="A31" s="10" t="s">
        <v>21</v>
      </c>
      <c r="B31" s="11">
        <v>5.0</v>
      </c>
      <c r="C31" s="11">
        <v>8.0</v>
      </c>
      <c r="D31" s="11">
        <v>5.0</v>
      </c>
      <c r="E31" s="11">
        <v>8.0</v>
      </c>
      <c r="F31" s="18">
        <f t="shared" si="8"/>
        <v>26</v>
      </c>
      <c r="G31" s="12" t="s">
        <v>22</v>
      </c>
    </row>
    <row r="32" ht="22.5" customHeight="1">
      <c r="A32" s="6" t="s">
        <v>23</v>
      </c>
      <c r="B32" s="7">
        <v>4.0</v>
      </c>
      <c r="C32" s="7">
        <v>10.0</v>
      </c>
      <c r="D32" s="7">
        <v>6.0</v>
      </c>
      <c r="E32" s="7">
        <v>4.0</v>
      </c>
      <c r="F32" s="8">
        <f t="shared" si="8"/>
        <v>24</v>
      </c>
      <c r="G32" s="9" t="s">
        <v>24</v>
      </c>
    </row>
    <row r="33" ht="22.5" customHeight="1">
      <c r="A33" s="10" t="s">
        <v>25</v>
      </c>
      <c r="B33" s="11">
        <v>7.0</v>
      </c>
      <c r="C33" s="11">
        <v>10.0</v>
      </c>
      <c r="D33" s="11">
        <v>8.0</v>
      </c>
      <c r="E33" s="11">
        <v>8.0</v>
      </c>
      <c r="F33" s="18">
        <f t="shared" si="8"/>
        <v>33</v>
      </c>
      <c r="G33" s="12" t="s">
        <v>26</v>
      </c>
    </row>
    <row r="34" ht="22.5" customHeight="1">
      <c r="A34" s="13" t="s">
        <v>27</v>
      </c>
      <c r="B34" s="14">
        <v>8.0</v>
      </c>
      <c r="C34" s="14">
        <v>8.0</v>
      </c>
      <c r="D34" s="14">
        <v>7.0</v>
      </c>
      <c r="E34" s="14">
        <v>6.0</v>
      </c>
      <c r="F34" s="19">
        <f t="shared" si="8"/>
        <v>29</v>
      </c>
      <c r="G34" s="15" t="s">
        <v>28</v>
      </c>
    </row>
    <row r="35" ht="22.5" customHeight="1">
      <c r="A35" s="16"/>
      <c r="B35" s="17"/>
      <c r="C35" s="17"/>
      <c r="D35" s="17"/>
      <c r="E35" s="17"/>
      <c r="F35" s="17"/>
      <c r="G35" s="16"/>
    </row>
    <row r="37" ht="22.5" customHeight="1">
      <c r="A37" s="5" t="s">
        <v>1</v>
      </c>
      <c r="B37" s="5" t="s">
        <v>13</v>
      </c>
      <c r="C37" s="5" t="s">
        <v>14</v>
      </c>
      <c r="D37" s="5" t="s">
        <v>15</v>
      </c>
      <c r="E37" s="5" t="s">
        <v>16</v>
      </c>
      <c r="F37" s="5" t="s">
        <v>17</v>
      </c>
      <c r="G37" s="5" t="s">
        <v>18</v>
      </c>
    </row>
    <row r="38" ht="22.5" customHeight="1">
      <c r="A38" s="6" t="s">
        <v>19</v>
      </c>
      <c r="B38" s="7">
        <v>8.0</v>
      </c>
      <c r="C38" s="7">
        <v>1.0</v>
      </c>
      <c r="D38" s="7">
        <v>8.0</v>
      </c>
      <c r="E38" s="7">
        <v>8.0</v>
      </c>
      <c r="F38" s="8">
        <f t="shared" ref="F38:F42" si="9">Sum(B38:E38)</f>
        <v>25</v>
      </c>
      <c r="G38" s="9" t="s">
        <v>20</v>
      </c>
    </row>
    <row r="39" ht="22.5" customHeight="1">
      <c r="A39" s="10" t="s">
        <v>21</v>
      </c>
      <c r="B39" s="11">
        <v>8.0</v>
      </c>
      <c r="C39" s="11">
        <v>10.0</v>
      </c>
      <c r="D39" s="11">
        <v>5.0</v>
      </c>
      <c r="E39" s="11">
        <v>10.0</v>
      </c>
      <c r="F39" s="18">
        <f t="shared" si="9"/>
        <v>33</v>
      </c>
      <c r="G39" s="12" t="s">
        <v>22</v>
      </c>
    </row>
    <row r="40" ht="22.5" customHeight="1">
      <c r="A40" s="6" t="s">
        <v>23</v>
      </c>
      <c r="B40" s="7">
        <v>9.0</v>
      </c>
      <c r="C40" s="7">
        <v>10.0</v>
      </c>
      <c r="D40" s="7">
        <v>8.0</v>
      </c>
      <c r="E40" s="7">
        <v>2.0</v>
      </c>
      <c r="F40" s="8">
        <f t="shared" si="9"/>
        <v>29</v>
      </c>
      <c r="G40" s="9" t="s">
        <v>24</v>
      </c>
    </row>
    <row r="41" ht="22.5" customHeight="1">
      <c r="A41" s="10" t="s">
        <v>25</v>
      </c>
      <c r="B41" s="11">
        <v>5.0</v>
      </c>
      <c r="C41" s="11">
        <v>10.0</v>
      </c>
      <c r="D41" s="11">
        <v>10.0</v>
      </c>
      <c r="E41" s="11">
        <v>8.0</v>
      </c>
      <c r="F41" s="18">
        <f t="shared" si="9"/>
        <v>33</v>
      </c>
      <c r="G41" s="12" t="s">
        <v>26</v>
      </c>
    </row>
    <row r="42" ht="22.5" customHeight="1">
      <c r="A42" s="13" t="s">
        <v>27</v>
      </c>
      <c r="B42" s="14">
        <v>8.0</v>
      </c>
      <c r="C42" s="14">
        <v>10.0</v>
      </c>
      <c r="D42" s="14">
        <v>10.0</v>
      </c>
      <c r="E42" s="14">
        <v>6.0</v>
      </c>
      <c r="F42" s="19">
        <f t="shared" si="9"/>
        <v>34</v>
      </c>
      <c r="G42" s="15" t="s">
        <v>28</v>
      </c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22.25"/>
    <col customWidth="1" min="3" max="3" width="22.13"/>
    <col customWidth="1" min="4" max="4" width="25.75"/>
    <col customWidth="1" min="5" max="5" width="25.13"/>
    <col customWidth="1" min="6" max="6" width="16.13"/>
    <col customWidth="1" min="7" max="7" width="40.25"/>
  </cols>
  <sheetData>
    <row r="1">
      <c r="A1" s="1" t="s">
        <v>0</v>
      </c>
    </row>
    <row r="2">
      <c r="A2" s="1"/>
      <c r="B2" s="1"/>
      <c r="C2" s="1"/>
      <c r="D2" s="1"/>
      <c r="E2" s="1"/>
      <c r="F2" s="1"/>
      <c r="G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.5" customHeight="1">
      <c r="A4" s="3" t="s">
        <v>8</v>
      </c>
      <c r="B4" s="4">
        <f t="shared" ref="B4:B8" si="1">F14</f>
        <v>29</v>
      </c>
      <c r="C4" s="4">
        <f t="shared" ref="C4:C8" si="2">F22</f>
        <v>27</v>
      </c>
      <c r="D4" s="4">
        <f t="shared" ref="D4:D8" si="3">F30</f>
        <v>30</v>
      </c>
      <c r="E4" s="4">
        <f t="shared" ref="E4:E8" si="4">F38</f>
        <v>25</v>
      </c>
      <c r="F4" s="4">
        <f t="shared" ref="F4:F8" si="5">AVERAGE(B4:E4)</f>
        <v>27.75</v>
      </c>
    </row>
    <row r="5" ht="22.5" customHeight="1">
      <c r="A5" s="3" t="s">
        <v>9</v>
      </c>
      <c r="B5" s="4">
        <f t="shared" si="1"/>
        <v>25</v>
      </c>
      <c r="C5" s="4">
        <f t="shared" si="2"/>
        <v>28</v>
      </c>
      <c r="D5" s="4">
        <f t="shared" si="3"/>
        <v>26</v>
      </c>
      <c r="E5" s="4">
        <f t="shared" si="4"/>
        <v>33</v>
      </c>
      <c r="F5" s="4">
        <f t="shared" si="5"/>
        <v>28</v>
      </c>
    </row>
    <row r="6" ht="22.5" customHeight="1">
      <c r="A6" s="3" t="s">
        <v>10</v>
      </c>
      <c r="B6" s="4">
        <f t="shared" si="1"/>
        <v>34</v>
      </c>
      <c r="C6" s="4">
        <f t="shared" si="2"/>
        <v>33</v>
      </c>
      <c r="D6" s="4">
        <f t="shared" si="3"/>
        <v>24</v>
      </c>
      <c r="E6" s="4">
        <f t="shared" si="4"/>
        <v>29</v>
      </c>
      <c r="F6" s="4">
        <f t="shared" si="5"/>
        <v>30</v>
      </c>
    </row>
    <row r="7" ht="22.5" customHeight="1">
      <c r="A7" s="3" t="s">
        <v>11</v>
      </c>
      <c r="B7" s="4">
        <f t="shared" si="1"/>
        <v>32</v>
      </c>
      <c r="C7" s="4">
        <f t="shared" si="2"/>
        <v>29</v>
      </c>
      <c r="D7" s="4">
        <f t="shared" si="3"/>
        <v>33</v>
      </c>
      <c r="E7" s="4">
        <f t="shared" si="4"/>
        <v>33</v>
      </c>
      <c r="F7" s="4">
        <f t="shared" si="5"/>
        <v>31.75</v>
      </c>
    </row>
    <row r="8" ht="22.5" customHeight="1">
      <c r="A8" s="3" t="s">
        <v>12</v>
      </c>
      <c r="B8" s="4">
        <f t="shared" si="1"/>
        <v>36</v>
      </c>
      <c r="C8" s="4">
        <f t="shared" si="2"/>
        <v>30</v>
      </c>
      <c r="D8" s="4">
        <f t="shared" si="3"/>
        <v>29</v>
      </c>
      <c r="E8" s="4">
        <f t="shared" si="4"/>
        <v>34</v>
      </c>
      <c r="F8" s="4">
        <f t="shared" si="5"/>
        <v>32.25</v>
      </c>
    </row>
    <row r="13" ht="22.5" customHeight="1">
      <c r="A13" s="5" t="s">
        <v>1</v>
      </c>
      <c r="B13" s="5" t="s">
        <v>13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18</v>
      </c>
    </row>
    <row r="14" ht="22.5" customHeight="1">
      <c r="A14" s="6" t="s">
        <v>19</v>
      </c>
      <c r="B14" s="7">
        <v>6.0</v>
      </c>
      <c r="C14" s="7">
        <v>7.0</v>
      </c>
      <c r="D14" s="7">
        <v>9.0</v>
      </c>
      <c r="E14" s="7">
        <v>7.0</v>
      </c>
      <c r="F14" s="8">
        <f t="shared" ref="F14:F18" si="6">SUM(B14:E14)</f>
        <v>29</v>
      </c>
      <c r="G14" s="9" t="s">
        <v>20</v>
      </c>
    </row>
    <row r="15" ht="22.5" customHeight="1">
      <c r="A15" s="10" t="s">
        <v>21</v>
      </c>
      <c r="B15" s="11">
        <v>7.0</v>
      </c>
      <c r="C15" s="11">
        <v>9.0</v>
      </c>
      <c r="D15" s="11">
        <v>5.0</v>
      </c>
      <c r="E15" s="11">
        <v>4.0</v>
      </c>
      <c r="F15" s="8">
        <f t="shared" si="6"/>
        <v>25</v>
      </c>
      <c r="G15" s="12" t="s">
        <v>22</v>
      </c>
    </row>
    <row r="16" ht="22.5" customHeight="1">
      <c r="A16" s="6" t="s">
        <v>23</v>
      </c>
      <c r="B16" s="7">
        <v>9.0</v>
      </c>
      <c r="C16" s="7">
        <v>10.0</v>
      </c>
      <c r="D16" s="7">
        <v>9.0</v>
      </c>
      <c r="E16" s="7">
        <v>6.0</v>
      </c>
      <c r="F16" s="8">
        <f t="shared" si="6"/>
        <v>34</v>
      </c>
      <c r="G16" s="9" t="s">
        <v>24</v>
      </c>
    </row>
    <row r="17" ht="22.5" customHeight="1">
      <c r="A17" s="10" t="s">
        <v>25</v>
      </c>
      <c r="B17" s="11">
        <v>8.0</v>
      </c>
      <c r="C17" s="11">
        <v>8.0</v>
      </c>
      <c r="D17" s="11">
        <v>8.0</v>
      </c>
      <c r="E17" s="11">
        <v>8.0</v>
      </c>
      <c r="F17" s="8">
        <f t="shared" si="6"/>
        <v>32</v>
      </c>
      <c r="G17" s="12" t="s">
        <v>26</v>
      </c>
    </row>
    <row r="18" ht="22.5" customHeight="1">
      <c r="A18" s="13" t="s">
        <v>27</v>
      </c>
      <c r="B18" s="14">
        <v>8.0</v>
      </c>
      <c r="C18" s="14">
        <v>9.0</v>
      </c>
      <c r="D18" s="14">
        <v>10.0</v>
      </c>
      <c r="E18" s="14">
        <v>9.0</v>
      </c>
      <c r="F18" s="8">
        <f t="shared" si="6"/>
        <v>36</v>
      </c>
      <c r="G18" s="15" t="s">
        <v>28</v>
      </c>
    </row>
    <row r="19" ht="22.5" customHeight="1">
      <c r="A19" s="16"/>
      <c r="B19" s="17"/>
      <c r="C19" s="17"/>
      <c r="D19" s="17"/>
      <c r="E19" s="17"/>
      <c r="F19" s="17"/>
      <c r="G19" s="16"/>
    </row>
    <row r="21" ht="22.5" customHeight="1">
      <c r="A21" s="5" t="s">
        <v>1</v>
      </c>
      <c r="B21" s="5" t="s">
        <v>13</v>
      </c>
      <c r="C21" s="5" t="s">
        <v>14</v>
      </c>
      <c r="D21" s="5" t="s">
        <v>15</v>
      </c>
      <c r="E21" s="5" t="s">
        <v>16</v>
      </c>
      <c r="F21" s="5" t="s">
        <v>17</v>
      </c>
      <c r="G21" s="5" t="s">
        <v>18</v>
      </c>
    </row>
    <row r="22" ht="22.5" customHeight="1">
      <c r="A22" s="6" t="s">
        <v>19</v>
      </c>
      <c r="B22" s="7">
        <v>6.0</v>
      </c>
      <c r="C22" s="7">
        <v>5.0</v>
      </c>
      <c r="D22" s="7">
        <v>9.0</v>
      </c>
      <c r="E22" s="7">
        <v>7.0</v>
      </c>
      <c r="F22" s="8">
        <f t="shared" ref="F22:F26" si="7">Sum(B22:E22)</f>
        <v>27</v>
      </c>
      <c r="G22" s="9" t="s">
        <v>20</v>
      </c>
    </row>
    <row r="23" ht="22.5" customHeight="1">
      <c r="A23" s="10" t="s">
        <v>21</v>
      </c>
      <c r="B23" s="11">
        <v>4.0</v>
      </c>
      <c r="C23" s="11">
        <v>10.0</v>
      </c>
      <c r="D23" s="11">
        <v>6.0</v>
      </c>
      <c r="E23" s="11">
        <v>8.0</v>
      </c>
      <c r="F23" s="18">
        <f t="shared" si="7"/>
        <v>28</v>
      </c>
      <c r="G23" s="12" t="s">
        <v>22</v>
      </c>
    </row>
    <row r="24" ht="22.5" customHeight="1">
      <c r="A24" s="6" t="s">
        <v>23</v>
      </c>
      <c r="B24" s="7">
        <v>8.0</v>
      </c>
      <c r="C24" s="7">
        <v>10.0</v>
      </c>
      <c r="D24" s="7">
        <v>8.0</v>
      </c>
      <c r="E24" s="7">
        <v>7.0</v>
      </c>
      <c r="F24" s="8">
        <f t="shared" si="7"/>
        <v>33</v>
      </c>
      <c r="G24" s="9" t="s">
        <v>24</v>
      </c>
    </row>
    <row r="25" ht="22.5" customHeight="1">
      <c r="A25" s="10" t="s">
        <v>25</v>
      </c>
      <c r="B25" s="11">
        <v>4.0</v>
      </c>
      <c r="C25" s="11">
        <v>9.0</v>
      </c>
      <c r="D25" s="11">
        <v>9.0</v>
      </c>
      <c r="E25" s="11">
        <v>7.0</v>
      </c>
      <c r="F25" s="18">
        <f t="shared" si="7"/>
        <v>29</v>
      </c>
      <c r="G25" s="12" t="s">
        <v>26</v>
      </c>
    </row>
    <row r="26" ht="22.5" customHeight="1">
      <c r="A26" s="13" t="s">
        <v>27</v>
      </c>
      <c r="B26" s="14">
        <v>5.0</v>
      </c>
      <c r="C26" s="14">
        <v>7.0</v>
      </c>
      <c r="D26" s="14">
        <v>9.0</v>
      </c>
      <c r="E26" s="14">
        <v>9.0</v>
      </c>
      <c r="F26" s="19">
        <f t="shared" si="7"/>
        <v>30</v>
      </c>
      <c r="G26" s="15" t="s">
        <v>28</v>
      </c>
    </row>
    <row r="27" ht="22.5" customHeight="1">
      <c r="A27" s="16"/>
      <c r="B27" s="17"/>
      <c r="C27" s="17"/>
      <c r="D27" s="17"/>
      <c r="E27" s="17"/>
      <c r="F27" s="17"/>
      <c r="G27" s="16"/>
    </row>
    <row r="29" ht="22.5" customHeight="1">
      <c r="A29" s="5" t="s">
        <v>1</v>
      </c>
      <c r="B29" s="5" t="s">
        <v>13</v>
      </c>
      <c r="C29" s="5" t="s">
        <v>14</v>
      </c>
      <c r="D29" s="5" t="s">
        <v>15</v>
      </c>
      <c r="E29" s="5" t="s">
        <v>16</v>
      </c>
      <c r="F29" s="5" t="s">
        <v>17</v>
      </c>
      <c r="G29" s="5" t="s">
        <v>18</v>
      </c>
    </row>
    <row r="30" ht="22.5" customHeight="1">
      <c r="A30" s="6" t="s">
        <v>19</v>
      </c>
      <c r="B30" s="7">
        <v>7.0</v>
      </c>
      <c r="C30" s="7">
        <v>6.0</v>
      </c>
      <c r="D30" s="7">
        <v>9.0</v>
      </c>
      <c r="E30" s="7">
        <v>8.0</v>
      </c>
      <c r="F30" s="8">
        <f t="shared" ref="F30:F34" si="8">Sum(B30:E30)</f>
        <v>30</v>
      </c>
      <c r="G30" s="9" t="s">
        <v>20</v>
      </c>
    </row>
    <row r="31" ht="22.5" customHeight="1">
      <c r="A31" s="10" t="s">
        <v>21</v>
      </c>
      <c r="B31" s="11">
        <v>5.0</v>
      </c>
      <c r="C31" s="11">
        <v>8.0</v>
      </c>
      <c r="D31" s="11">
        <v>5.0</v>
      </c>
      <c r="E31" s="11">
        <v>8.0</v>
      </c>
      <c r="F31" s="18">
        <f t="shared" si="8"/>
        <v>26</v>
      </c>
      <c r="G31" s="12" t="s">
        <v>22</v>
      </c>
    </row>
    <row r="32" ht="22.5" customHeight="1">
      <c r="A32" s="6" t="s">
        <v>23</v>
      </c>
      <c r="B32" s="7">
        <v>4.0</v>
      </c>
      <c r="C32" s="7">
        <v>10.0</v>
      </c>
      <c r="D32" s="7">
        <v>6.0</v>
      </c>
      <c r="E32" s="7">
        <v>4.0</v>
      </c>
      <c r="F32" s="8">
        <f t="shared" si="8"/>
        <v>24</v>
      </c>
      <c r="G32" s="9" t="s">
        <v>24</v>
      </c>
    </row>
    <row r="33" ht="22.5" customHeight="1">
      <c r="A33" s="10" t="s">
        <v>25</v>
      </c>
      <c r="B33" s="11">
        <v>7.0</v>
      </c>
      <c r="C33" s="11">
        <v>10.0</v>
      </c>
      <c r="D33" s="11">
        <v>8.0</v>
      </c>
      <c r="E33" s="11">
        <v>8.0</v>
      </c>
      <c r="F33" s="18">
        <f t="shared" si="8"/>
        <v>33</v>
      </c>
      <c r="G33" s="12" t="s">
        <v>26</v>
      </c>
    </row>
    <row r="34" ht="22.5" customHeight="1">
      <c r="A34" s="13" t="s">
        <v>27</v>
      </c>
      <c r="B34" s="14">
        <v>8.0</v>
      </c>
      <c r="C34" s="14">
        <v>8.0</v>
      </c>
      <c r="D34" s="14">
        <v>7.0</v>
      </c>
      <c r="E34" s="14">
        <v>6.0</v>
      </c>
      <c r="F34" s="19">
        <f t="shared" si="8"/>
        <v>29</v>
      </c>
      <c r="G34" s="15" t="s">
        <v>28</v>
      </c>
    </row>
    <row r="35" ht="22.5" customHeight="1">
      <c r="A35" s="16"/>
      <c r="B35" s="17"/>
      <c r="C35" s="17"/>
      <c r="D35" s="17"/>
      <c r="E35" s="17"/>
      <c r="F35" s="17"/>
      <c r="G35" s="16"/>
    </row>
    <row r="37" ht="22.5" customHeight="1">
      <c r="A37" s="5" t="s">
        <v>1</v>
      </c>
      <c r="B37" s="5" t="s">
        <v>13</v>
      </c>
      <c r="C37" s="5" t="s">
        <v>14</v>
      </c>
      <c r="D37" s="5" t="s">
        <v>15</v>
      </c>
      <c r="E37" s="5" t="s">
        <v>16</v>
      </c>
      <c r="F37" s="5" t="s">
        <v>17</v>
      </c>
      <c r="G37" s="5" t="s">
        <v>18</v>
      </c>
    </row>
    <row r="38" ht="22.5" customHeight="1">
      <c r="A38" s="6" t="s">
        <v>19</v>
      </c>
      <c r="B38" s="7">
        <v>8.0</v>
      </c>
      <c r="C38" s="7">
        <v>1.0</v>
      </c>
      <c r="D38" s="7">
        <v>8.0</v>
      </c>
      <c r="E38" s="7">
        <v>8.0</v>
      </c>
      <c r="F38" s="8">
        <f t="shared" ref="F38:F42" si="9">Sum(B38:E38)</f>
        <v>25</v>
      </c>
      <c r="G38" s="9" t="s">
        <v>20</v>
      </c>
    </row>
    <row r="39" ht="22.5" customHeight="1">
      <c r="A39" s="10" t="s">
        <v>21</v>
      </c>
      <c r="B39" s="11">
        <v>8.0</v>
      </c>
      <c r="C39" s="11">
        <v>10.0</v>
      </c>
      <c r="D39" s="11">
        <v>5.0</v>
      </c>
      <c r="E39" s="11">
        <v>10.0</v>
      </c>
      <c r="F39" s="18">
        <f t="shared" si="9"/>
        <v>33</v>
      </c>
      <c r="G39" s="12" t="s">
        <v>22</v>
      </c>
    </row>
    <row r="40" ht="22.5" customHeight="1">
      <c r="A40" s="6" t="s">
        <v>23</v>
      </c>
      <c r="B40" s="7">
        <v>9.0</v>
      </c>
      <c r="C40" s="7">
        <v>10.0</v>
      </c>
      <c r="D40" s="7">
        <v>8.0</v>
      </c>
      <c r="E40" s="7">
        <v>2.0</v>
      </c>
      <c r="F40" s="8">
        <f t="shared" si="9"/>
        <v>29</v>
      </c>
      <c r="G40" s="9" t="s">
        <v>24</v>
      </c>
    </row>
    <row r="41" ht="22.5" customHeight="1">
      <c r="A41" s="10" t="s">
        <v>25</v>
      </c>
      <c r="B41" s="11">
        <v>5.0</v>
      </c>
      <c r="C41" s="11">
        <v>10.0</v>
      </c>
      <c r="D41" s="11">
        <v>10.0</v>
      </c>
      <c r="E41" s="11">
        <v>8.0</v>
      </c>
      <c r="F41" s="18">
        <f t="shared" si="9"/>
        <v>33</v>
      </c>
      <c r="G41" s="12" t="s">
        <v>26</v>
      </c>
    </row>
    <row r="42" ht="22.5" customHeight="1">
      <c r="A42" s="13" t="s">
        <v>27</v>
      </c>
      <c r="B42" s="14">
        <v>8.0</v>
      </c>
      <c r="C42" s="14">
        <v>10.0</v>
      </c>
      <c r="D42" s="14">
        <v>10.0</v>
      </c>
      <c r="E42" s="14">
        <v>6.0</v>
      </c>
      <c r="F42" s="19">
        <f t="shared" si="9"/>
        <v>34</v>
      </c>
      <c r="G42" s="15" t="s">
        <v>28</v>
      </c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0.25"/>
    <col customWidth="1" min="3" max="3" width="16.38"/>
    <col customWidth="1" min="4" max="4" width="25.25"/>
    <col customWidth="1" min="5" max="5" width="22.5"/>
    <col customWidth="1" min="6" max="6" width="13.88"/>
  </cols>
  <sheetData>
    <row r="2">
      <c r="A2" s="1"/>
      <c r="B2" s="1"/>
      <c r="C2" s="1"/>
      <c r="D2" s="1"/>
      <c r="E2" s="1"/>
      <c r="F2" s="1"/>
      <c r="G2" s="1"/>
    </row>
    <row r="3" ht="22.5" customHeight="1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17</v>
      </c>
      <c r="G3" s="2" t="s">
        <v>34</v>
      </c>
    </row>
    <row r="4" ht="22.5" customHeight="1">
      <c r="A4" s="3" t="s">
        <v>35</v>
      </c>
    </row>
  </sheetData>
  <drawing r:id="rId1"/>
  <tableParts count="1">
    <tablePart r:id="rId3"/>
  </tableParts>
</worksheet>
</file>